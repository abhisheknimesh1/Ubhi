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Year 1 Cash Flow" state="visible" r:id="rId5"/>
    <sheet sheetId="3" name="3-Year Summary" state="visible" r:id="rId6"/>
  </sheets>
  <calcPr calcId="171027" fullCalcOnLoad="1"/>
</workbook>
</file>

<file path=xl/sharedStrings.xml><?xml version="1.0" encoding="utf-8"?>
<sst xmlns="http://schemas.openxmlformats.org/spreadsheetml/2006/main" count="111" uniqueCount="103">
  <si>
    <t>UBHI — FINANCIAL MODEL · ASSUMPTIONS</t>
  </si>
  <si>
    <t>Edit the blue cells. The other two tabs recalculate automatically.</t>
  </si>
  <si>
    <t>SNAIL MAIL CLUB (art-by-post subscription)</t>
  </si>
  <si>
    <t>Blended price per subscriber / month</t>
  </si>
  <si>
    <t>£18 monthly · £16.33 3-mo · £15.83 6-mo · £12.42 12-mo</t>
  </si>
  <si>
    <t>Subscribers at launch</t>
  </si>
  <si>
    <t>Start from zero</t>
  </si>
  <si>
    <t>New subscribers gained / month (Year 1)</t>
  </si>
  <si>
    <t>Organic, no ad budget</t>
  </si>
  <si>
    <t>Monthly churn (cancellations)</t>
  </si>
  <si>
    <t>Lifestyle-box benchmark 8–14%/mo (verified)</t>
  </si>
  <si>
    <t>Cost per parcel (materials + UK postage)</t>
  </si>
  <si>
    <t>Paper, art, object, stamp</t>
  </si>
  <si>
    <t>SOUL SHOP (handmade goods)</t>
  </si>
  <si>
    <t>Orders / month (full Year-1 run-rate)</t>
  </si>
  <si>
    <t>Own-site, organic traffic</t>
  </si>
  <si>
    <t>Average order value (AOV)</t>
  </si>
  <si>
    <t>Items £8–68, free post over £50</t>
  </si>
  <si>
    <t>Materials cost (% of shop revenue)</t>
  </si>
  <si>
    <t>~65% gross margin before labour</t>
  </si>
  <si>
    <t>WORKSHOPS (your corrected model)</t>
  </si>
  <si>
    <t>Ticket price per person</t>
  </si>
  <si>
    <t>London social-class sweet spot £10–43 (verified)</t>
  </si>
  <si>
    <t>Seats per workshop (capacity)</t>
  </si>
  <si>
    <t>Your figure</t>
  </si>
  <si>
    <t>Fill rate (target, seats sold)</t>
  </si>
  <si>
    <t>Realistic for a building brand; 100% = full house</t>
  </si>
  <si>
    <t>Workshops per month</t>
  </si>
  <si>
    <t>2 per week — your figure</t>
  </si>
  <si>
    <t>Venue hire per workshop</t>
  </si>
  <si>
    <t>Per-session; a fixed studio slashes this</t>
  </si>
  <si>
    <t>Materials per attendee</t>
  </si>
  <si>
    <t>Inks, paper, clay, kits</t>
  </si>
  <si>
    <t>OVERHEADS &amp; FEES</t>
  </si>
  <si>
    <t>Website / hosting / month</t>
  </si>
  <si>
    <t>Domain, host, backend</t>
  </si>
  <si>
    <t>Marketing / misc / month</t>
  </si>
  <si>
    <t>Props, samples, small ads</t>
  </si>
  <si>
    <t>Payment fees (% of revenue)</t>
  </si>
  <si>
    <t>Stripe ~1.5% + 20p</t>
  </si>
  <si>
    <t>YEAR-1 BUILD &amp; GROWTH</t>
  </si>
  <si>
    <t>Year-1 ramp — Month 1 as % of run-rate</t>
  </si>
  <si>
    <t>Starts slow, reaches 100% by M12</t>
  </si>
  <si>
    <t>Snail Mail — Year 2 (× Year 1)</t>
  </si>
  <si>
    <t>Recurring base compounds</t>
  </si>
  <si>
    <t>Snail Mail — Year 3 (× Year 1)</t>
  </si>
  <si>
    <t>Approaching solo capacity ceiling</t>
  </si>
  <si>
    <t>Soul Shop — Year 2 (× Year 1)</t>
  </si>
  <si>
    <t>Traffic &amp; repeat build</t>
  </si>
  <si>
    <t>Soul Shop — Year 3 (× Year 1)</t>
  </si>
  <si>
    <t>Workshops — Year 2 (× Year 1)</t>
  </si>
  <si>
    <t>Add private/corporate bookings</t>
  </si>
  <si>
    <t>Workshops — Year 3 (× Year 1)</t>
  </si>
  <si>
    <t>Fixed studio + reputation</t>
  </si>
  <si>
    <t>Overhead growth / year (×)</t>
  </si>
  <si>
    <t>You reinvest as you grow</t>
  </si>
  <si>
    <t>YEAR 1 — MONTHLY CASH FLOW  (£)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</si>
  <si>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</si>
  <si>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</si>
  <si>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</si>
  <si>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</si>
  <si>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</si>
  <si>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</si>
  <si>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</si>
  <si>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</si>
  <si>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</si>
  <si>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</si>
  <si>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</si>
  <si>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</si>
  <si>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YEAR 1</t>
  </si>
  <si>
    <t>Ramp factor (Y1 build)</t>
  </si>
  <si>
    <t>REVENUE</t>
  </si>
  <si>
    <t>Snail Mail — active subscribers</t>
  </si>
  <si>
    <t>Snail Mail — revenue</t>
  </si>
  <si>
    <t>Soul Shop — orders</t>
  </si>
  <si>
    <t>Soul Shop — revenue</t>
  </si>
  <si>
    <t>Workshops — seats sold</t>
  </si>
  <si>
    <t>Workshops — revenue</t>
  </si>
  <si>
    <t>TOTAL REVENUE</t>
  </si>
  <si>
    <t>EXPENSES</t>
  </si>
  <si>
    <t>Snail Mail — materials &amp; postage</t>
  </si>
  <si>
    <t>Soul Shop — materials</t>
  </si>
  <si>
    <t>Workshops — venue hire</t>
  </si>
  <si>
    <t>Workshops — materials</t>
  </si>
  <si>
    <t>Payment processing fees</t>
  </si>
  <si>
    <t>Overheads (web, marketing)</t>
  </si>
  <si>
    <t>TOTAL EXPENSES</t>
  </si>
  <si>
    <t>NET CASH FLOW (month)</t>
  </si>
  <si>
    <t>CUMULATIVE CASH</t>
  </si>
  <si>
    <t>UBHI — 3-YEAR GROWTH &amp; PROFIT  (£)</t>
  </si>
  <si>
    <t>Year 1 links from the monthly tab; Years 2–3 apply the growth multiples on the Assumptions tab.</t>
  </si>
  <si>
    <t>Year 1</t>
  </si>
  <si>
    <t>Year 2</t>
  </si>
  <si>
    <t>Year 3</t>
  </si>
  <si>
    <t>Y3 vs Y1</t>
  </si>
  <si>
    <t>Snail Mail Club</t>
  </si>
  <si>
    <t>Soul Shop</t>
  </si>
  <si>
    <t>Workshops</t>
  </si>
  <si>
    <t>Workshops — venue &amp; materials</t>
  </si>
  <si>
    <t>NET PROFIT (before your pay &amp; tax)</t>
  </si>
  <si>
    <t>Net margin %</t>
  </si>
  <si>
    <t>Reminder: NET PROFIT is before Chelsea's own wage and income tax — it's the cash the business throws off.</t>
  </si>
  <si>
    <t>Biggest lever = workshop venue. A fixed studio instead of per-session hire sharply lifts net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</si>
</sst>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£#,##0;(£#,##0);&quot;-&quot;"/>
    <numFmt numFmtId="165" formatCode="#,##0;(#,##0);&quot;-&quot;"/>
    <numFmt numFmtId="166" formatCode="0.0%"/>
    <numFmt numFmtId="167" formatCode="0.0&quot;x&quot;"/>
  </numFmts>
  <fonts count="14" x14ac:knownFonts="1">
    <font>
      <color theme="1"/>
      <family val="2"/>
      <scheme val="minor"/>
      <sz val="11"/>
      <name val="Calibri"/>
    </font>
    <font>
      <b/>
      <color rgb="FFA6741F"/>
      <sz val="14"/>
      <name val="Arial"/>
    </font>
    <font>
      <i/>
      <color rgb="FF888888"/>
      <sz val="9"/>
      <name val="Arial"/>
    </font>
    <font>
      <b/>
      <color rgb="FFFFFFFF"/>
      <sz val="11"/>
      <name val="Arial"/>
    </font>
    <font>
      <color rgb="FF000000"/>
      <sz val="10"/>
      <name val="Arial"/>
    </font>
    <font>
      <color rgb="FF0000FF"/>
      <sz val="10"/>
      <name val="Arial"/>
    </font>
    <font>
      <b/>
      <color rgb="FF000000"/>
      <sz val="10"/>
      <name val="Arial"/>
    </font>
    <font>
      <b/>
      <color rgb="FFFFFFFF"/>
      <sz val="10"/>
      <name val="Arial"/>
    </font>
    <font>
      <b/>
      <color rgb="FFA6741F"/>
      <sz val="10"/>
      <name val="Arial"/>
    </font>
    <font>
      <color rgb="FF008000"/>
      <sz val="10"/>
      <name val="Arial"/>
    </font>
    <font>
      <color rgb="FF888888"/>
      <sz val="10"/>
      <name val="Arial"/>
    </font>
    <font>
      <b/>
      <color rgb="FF888888"/>
      <sz val="10"/>
      <name val="Arial"/>
    </font>
    <font>
      <i/>
      <color rgb="FF000000"/>
      <sz val="10"/>
      <name val="Arial"/>
    </font>
    <font>
      <i/>
      <color rgb="FF888888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A6741F"/>
      </patternFill>
    </fill>
    <fill>
      <patternFill patternType="solid">
        <fgColor rgb="FFFFF9E6"/>
      </patternFill>
    </fill>
    <fill>
      <patternFill patternType="solid">
        <fgColor rgb="FFF6EFDD"/>
      </patternFill>
    </fill>
  </fills>
  <borders count="2">
    <border>
      <left/>
      <right/>
      <top/>
      <bottom/>
      <diagonal/>
    </border>
    <border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167" fontId="5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4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166" fontId="1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4" customWidth="1"/>
    <col min="3" max="3" width="5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3" x14ac:dyDescent="0.25">
      <c r="A4" s="3" t="s">
        <v>2</v>
      </c>
      <c r="B4" s="3"/>
      <c r="C4" s="3"/>
    </row>
    <row r="5" spans="1:3" x14ac:dyDescent="0.25">
      <c r="A5" s="4" t="s">
        <v>3</v>
      </c>
      <c r="B5" s="5">
        <v>16</v>
      </c>
      <c r="C5" s="2" t="s">
        <v>4</v>
      </c>
    </row>
    <row r="6" spans="1:3" x14ac:dyDescent="0.25">
      <c r="A6" s="4" t="s">
        <v>5</v>
      </c>
      <c r="B6" s="6">
        <v>0</v>
      </c>
      <c r="C6" s="2" t="s">
        <v>6</v>
      </c>
    </row>
    <row r="7" spans="1:3" x14ac:dyDescent="0.25">
      <c r="A7" s="4" t="s">
        <v>7</v>
      </c>
      <c r="B7" s="6">
        <v>10</v>
      </c>
      <c r="C7" s="2" t="s">
        <v>8</v>
      </c>
    </row>
    <row r="8" spans="1:3" x14ac:dyDescent="0.25">
      <c r="A8" s="4" t="s">
        <v>9</v>
      </c>
      <c r="B8" s="7">
        <v>0.08</v>
      </c>
      <c r="C8" s="2" t="s">
        <v>10</v>
      </c>
    </row>
    <row r="9" spans="1:3" x14ac:dyDescent="0.25">
      <c r="A9" s="4" t="s">
        <v>11</v>
      </c>
      <c r="B9" s="5">
        <v>6</v>
      </c>
      <c r="C9" s="2" t="s">
        <v>12</v>
      </c>
    </row>
    <row r="11" spans="1:3" x14ac:dyDescent="0.25">
      <c r="A11" s="3" t="s">
        <v>13</v>
      </c>
      <c r="B11" s="3"/>
      <c r="C11" s="3"/>
    </row>
    <row r="12" spans="1:3" x14ac:dyDescent="0.25">
      <c r="A12" s="4" t="s">
        <v>14</v>
      </c>
      <c r="B12" s="6">
        <v>15</v>
      </c>
      <c r="C12" s="2" t="s">
        <v>15</v>
      </c>
    </row>
    <row r="13" spans="1:3" x14ac:dyDescent="0.25">
      <c r="A13" s="4" t="s">
        <v>16</v>
      </c>
      <c r="B13" s="5">
        <v>35</v>
      </c>
      <c r="C13" s="2" t="s">
        <v>17</v>
      </c>
    </row>
    <row r="14" spans="1:3" x14ac:dyDescent="0.25">
      <c r="A14" s="4" t="s">
        <v>18</v>
      </c>
      <c r="B14" s="7">
        <v>0.35</v>
      </c>
      <c r="C14" s="2" t="s">
        <v>19</v>
      </c>
    </row>
    <row r="16" spans="1:3" x14ac:dyDescent="0.25">
      <c r="A16" s="3" t="s">
        <v>20</v>
      </c>
      <c r="B16" s="3"/>
      <c r="C16" s="3"/>
    </row>
    <row r="17" spans="1:3" x14ac:dyDescent="0.25">
      <c r="A17" s="4" t="s">
        <v>21</v>
      </c>
      <c r="B17" s="5">
        <v>35</v>
      </c>
      <c r="C17" s="2" t="s">
        <v>22</v>
      </c>
    </row>
    <row r="18" spans="1:3" x14ac:dyDescent="0.25">
      <c r="A18" s="4" t="s">
        <v>23</v>
      </c>
      <c r="B18" s="6">
        <v>15</v>
      </c>
      <c r="C18" s="2" t="s">
        <v>24</v>
      </c>
    </row>
    <row r="19" spans="1:3" x14ac:dyDescent="0.25">
      <c r="A19" s="4" t="s">
        <v>25</v>
      </c>
      <c r="B19" s="7">
        <v>0.75</v>
      </c>
      <c r="C19" s="2" t="s">
        <v>26</v>
      </c>
    </row>
    <row r="20" spans="1:3" x14ac:dyDescent="0.25">
      <c r="A20" s="4" t="s">
        <v>27</v>
      </c>
      <c r="B20" s="6">
        <v>8</v>
      </c>
      <c r="C20" s="2" t="s">
        <v>28</v>
      </c>
    </row>
    <row r="21" spans="1:3" x14ac:dyDescent="0.25">
      <c r="A21" s="4" t="s">
        <v>29</v>
      </c>
      <c r="B21" s="5">
        <v>180</v>
      </c>
      <c r="C21" s="2" t="s">
        <v>30</v>
      </c>
    </row>
    <row r="22" spans="1:3" x14ac:dyDescent="0.25">
      <c r="A22" s="4" t="s">
        <v>31</v>
      </c>
      <c r="B22" s="5">
        <v>7</v>
      </c>
      <c r="C22" s="2" t="s">
        <v>32</v>
      </c>
    </row>
    <row r="24" spans="1:3" x14ac:dyDescent="0.25">
      <c r="A24" s="3" t="s">
        <v>33</v>
      </c>
      <c r="B24" s="3"/>
      <c r="C24" s="3"/>
    </row>
    <row r="25" spans="1:3" x14ac:dyDescent="0.25">
      <c r="A25" s="4" t="s">
        <v>34</v>
      </c>
      <c r="B25" s="5">
        <v>20</v>
      </c>
      <c r="C25" s="2" t="s">
        <v>35</v>
      </c>
    </row>
    <row r="26" spans="1:3" x14ac:dyDescent="0.25">
      <c r="A26" s="4" t="s">
        <v>36</v>
      </c>
      <c r="B26" s="5">
        <v>50</v>
      </c>
      <c r="C26" s="2" t="s">
        <v>37</v>
      </c>
    </row>
    <row r="27" spans="1:3" x14ac:dyDescent="0.25">
      <c r="A27" s="4" t="s">
        <v>38</v>
      </c>
      <c r="B27" s="7">
        <v>0.02</v>
      </c>
      <c r="C27" s="2" t="s">
        <v>39</v>
      </c>
    </row>
    <row r="29" spans="1:3" x14ac:dyDescent="0.25">
      <c r="A29" s="3" t="s">
        <v>40</v>
      </c>
      <c r="B29" s="3"/>
      <c r="C29" s="3"/>
    </row>
    <row r="30" spans="1:3" x14ac:dyDescent="0.25">
      <c r="A30" s="4" t="s">
        <v>41</v>
      </c>
      <c r="B30" s="7">
        <v>0.4</v>
      </c>
      <c r="C30" s="2" t="s">
        <v>42</v>
      </c>
    </row>
    <row r="31" spans="1:3" x14ac:dyDescent="0.25">
      <c r="A31" s="4" t="s">
        <v>43</v>
      </c>
      <c r="B31" s="8">
        <v>2.5</v>
      </c>
      <c r="C31" s="2" t="s">
        <v>44</v>
      </c>
    </row>
    <row r="32" spans="1:3" x14ac:dyDescent="0.25">
      <c r="A32" s="4" t="s">
        <v>45</v>
      </c>
      <c r="B32" s="8">
        <v>3.5</v>
      </c>
      <c r="C32" s="2" t="s">
        <v>46</v>
      </c>
    </row>
    <row r="33" spans="1:3" x14ac:dyDescent="0.25">
      <c r="A33" s="4" t="s">
        <v>47</v>
      </c>
      <c r="B33" s="8">
        <v>1.8</v>
      </c>
      <c r="C33" s="2" t="s">
        <v>48</v>
      </c>
    </row>
    <row r="34" spans="1:2" x14ac:dyDescent="0.25">
      <c r="A34" s="4" t="s">
        <v>49</v>
      </c>
      <c r="B34" s="8">
        <v>2.5</v>
      </c>
    </row>
    <row r="35" spans="1:3" x14ac:dyDescent="0.25">
      <c r="A35" s="4" t="s">
        <v>50</v>
      </c>
      <c r="B35" s="8">
        <v>1.3</v>
      </c>
      <c r="C35" s="2" t="s">
        <v>51</v>
      </c>
    </row>
    <row r="36" spans="1:3" x14ac:dyDescent="0.25">
      <c r="A36" s="4" t="s">
        <v>52</v>
      </c>
      <c r="B36" s="8">
        <v>1.6</v>
      </c>
      <c r="C36" s="2" t="s">
        <v>53</v>
      </c>
    </row>
    <row r="37" spans="1:3" x14ac:dyDescent="0.25">
      <c r="A37" s="4" t="s">
        <v>54</v>
      </c>
      <c r="B37" s="8">
        <v>1.4</v>
      </c>
      <c r="C37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showGridLines="0"/>
  </sheetViews>
  <sheetFormatPr defaultRowHeight="15" outlineLevelRow="0" outlineLevelCol="0" x14ac:dyDescent="55"/>
  <cols>
    <col min="1" max="1" width="34" customWidth="1"/>
    <col min="2" max="14" width="10" customWidth="1"/>
  </cols>
  <sheetData>
    <row r="1" spans="1:1" x14ac:dyDescent="0.25">
      <c r="A1" s="1" t="s">
        <v>56</v>
      </c>
    </row>
    <row r="3" spans="2:14" x14ac:dyDescent="0.25"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 t="s">
        <v>62</v>
      </c>
      <c r="H3" s="9" t="s">
        <v>63</v>
      </c>
      <c r="I3" s="9" t="s">
        <v>64</v>
      </c>
      <c r="J3" s="9" t="s">
        <v>65</v>
      </c>
      <c r="K3" s="9" t="s">
        <v>66</v>
      </c>
      <c r="L3" s="9" t="s">
        <v>67</v>
      </c>
      <c r="M3" s="9" t="s">
        <v>68</v>
      </c>
      <c r="N3" s="10" t="s">
        <v>69</v>
      </c>
    </row>
    <row r="4" spans="1:13" x14ac:dyDescent="0.25">
      <c r="A4" s="2" t="s">
        <v>70</v>
      </c>
      <c r="B4" s="11">
        <f>'Assumptions'!$B$30+(1-'Assumptions'!$B$30)*0/11</f>
        <v>0.4</v>
      </c>
      <c r="C4" s="11">
        <f>'Assumptions'!$B$30+(1-'Assumptions'!$B$30)*1/11</f>
        <v>0.4545454545454546</v>
      </c>
      <c r="D4" s="11">
        <f>'Assumptions'!$B$30+(1-'Assumptions'!$B$30)*2/11</f>
        <v>0.5090909090909091</v>
      </c>
      <c r="E4" s="11">
        <f>'Assumptions'!$B$30+(1-'Assumptions'!$B$30)*3/11</f>
        <v>0.5636363636363636</v>
      </c>
      <c r="F4" s="11">
        <f>'Assumptions'!$B$30+(1-'Assumptions'!$B$30)*4/11</f>
        <v>0.6181818181818182</v>
      </c>
      <c r="G4" s="11">
        <f>'Assumptions'!$B$30+(1-'Assumptions'!$B$30)*5/11</f>
        <v>0.6727272727272727</v>
      </c>
      <c r="H4" s="11">
        <f>'Assumptions'!$B$30+(1-'Assumptions'!$B$30)*6/11</f>
        <v>0.7272727272727273</v>
      </c>
      <c r="I4" s="11">
        <f>'Assumptions'!$B$30+(1-'Assumptions'!$B$30)*7/11</f>
        <v>0.7818181818181819</v>
      </c>
      <c r="J4" s="11">
        <f>'Assumptions'!$B$30+(1-'Assumptions'!$B$30)*8/11</f>
        <v>0.8363636363636364</v>
      </c>
      <c r="K4" s="11">
        <f>'Assumptions'!$B$30+(1-'Assumptions'!$B$30)*9/11</f>
        <v>0.8909090909090909</v>
      </c>
      <c r="L4" s="11">
        <f>'Assumptions'!$B$30+(1-'Assumptions'!$B$30)*10/11</f>
        <v>0.9454545454545454</v>
      </c>
      <c r="M4" s="11">
        <f>'Assumptions'!$B$30+(1-'Assumptions'!$B$30)*11/11</f>
        <v>1</v>
      </c>
    </row>
    <row r="5" spans="1:14" x14ac:dyDescent="0.25">
      <c r="A5" s="3" t="s">
        <v>71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4" t="s">
        <v>72</v>
      </c>
      <c r="B6" s="12">
        <f>ROUND('Assumptions'!$B$6*(1-'Assumptions'!$B$8)+'Assumptions'!$B$7,0)</f>
        <v>10</v>
      </c>
      <c r="C6" s="12">
        <f>ROUND(B6*(1-'Assumptions'!$B$8)+'Assumptions'!$B$7,0)</f>
        <v>19</v>
      </c>
      <c r="D6" s="12">
        <f>ROUND(C6*(1-'Assumptions'!$B$8)+'Assumptions'!$B$7,0)</f>
        <v>27</v>
      </c>
      <c r="E6" s="12">
        <f>ROUND(D6*(1-'Assumptions'!$B$8)+'Assumptions'!$B$7,0)</f>
        <v>35</v>
      </c>
      <c r="F6" s="12">
        <f>ROUND(E6*(1-'Assumptions'!$B$8)+'Assumptions'!$B$7,0)</f>
        <v>42</v>
      </c>
      <c r="G6" s="12">
        <f>ROUND(F6*(1-'Assumptions'!$B$8)+'Assumptions'!$B$7,0)</f>
        <v>49</v>
      </c>
      <c r="H6" s="12">
        <f>ROUND(G6*(1-'Assumptions'!$B$8)+'Assumptions'!$B$7,0)</f>
        <v>55</v>
      </c>
      <c r="I6" s="12">
        <f>ROUND(H6*(1-'Assumptions'!$B$8)+'Assumptions'!$B$7,0)</f>
        <v>61</v>
      </c>
      <c r="J6" s="12">
        <f>ROUND(I6*(1-'Assumptions'!$B$8)+'Assumptions'!$B$7,0)</f>
        <v>66</v>
      </c>
      <c r="K6" s="12">
        <f>ROUND(J6*(1-'Assumptions'!$B$8)+'Assumptions'!$B$7,0)</f>
        <v>71</v>
      </c>
      <c r="L6" s="12">
        <f>ROUND(K6*(1-'Assumptions'!$B$8)+'Assumptions'!$B$7,0)</f>
        <v>75</v>
      </c>
      <c r="M6" s="12">
        <f>ROUND(L6*(1-'Assumptions'!$B$8)+'Assumptions'!$B$7,0)</f>
        <v>79</v>
      </c>
      <c r="N6" s="13">
        <f>ROUND(AVERAGE(B6:M6),0)</f>
        <v>49</v>
      </c>
    </row>
    <row r="7" spans="1:14" x14ac:dyDescent="0.25">
      <c r="A7" s="4" t="s">
        <v>73</v>
      </c>
      <c r="B7" s="14">
        <f>B6*'Assumptions'!$B$5</f>
        <v>160</v>
      </c>
      <c r="C7" s="14">
        <f>C6*'Assumptions'!$B$5</f>
        <v>304</v>
      </c>
      <c r="D7" s="14">
        <f>D6*'Assumptions'!$B$5</f>
        <v>432</v>
      </c>
      <c r="E7" s="14">
        <f>E6*'Assumptions'!$B$5</f>
        <v>560</v>
      </c>
      <c r="F7" s="14">
        <f>F6*'Assumptions'!$B$5</f>
        <v>672</v>
      </c>
      <c r="G7" s="14">
        <f>G6*'Assumptions'!$B$5</f>
        <v>784</v>
      </c>
      <c r="H7" s="14">
        <f>H6*'Assumptions'!$B$5</f>
        <v>880</v>
      </c>
      <c r="I7" s="14">
        <f>I6*'Assumptions'!$B$5</f>
        <v>976</v>
      </c>
      <c r="J7" s="14">
        <f>J6*'Assumptions'!$B$5</f>
        <v>1056</v>
      </c>
      <c r="K7" s="14">
        <f>K6*'Assumptions'!$B$5</f>
        <v>1136</v>
      </c>
      <c r="L7" s="14">
        <f>L6*'Assumptions'!$B$5</f>
        <v>1200</v>
      </c>
      <c r="M7" s="14">
        <f>M6*'Assumptions'!$B$5</f>
        <v>1264</v>
      </c>
      <c r="N7" s="15">
        <f>SUM(B7:M7)</f>
        <v>9424</v>
      </c>
    </row>
    <row r="8" spans="1:14" x14ac:dyDescent="0.25">
      <c r="A8" s="4" t="s">
        <v>74</v>
      </c>
      <c r="B8" s="12">
        <f>ROUND('Assumptions'!$B$12*B4,0)</f>
        <v>6</v>
      </c>
      <c r="C8" s="12">
        <f>ROUND('Assumptions'!$B$12*C4,0)</f>
        <v>7</v>
      </c>
      <c r="D8" s="12">
        <f>ROUND('Assumptions'!$B$12*D4,0)</f>
        <v>8</v>
      </c>
      <c r="E8" s="12">
        <f>ROUND('Assumptions'!$B$12*E4,0)</f>
        <v>8</v>
      </c>
      <c r="F8" s="12">
        <f>ROUND('Assumptions'!$B$12*F4,0)</f>
        <v>9</v>
      </c>
      <c r="G8" s="12">
        <f>ROUND('Assumptions'!$B$12*G4,0)</f>
        <v>10</v>
      </c>
      <c r="H8" s="12">
        <f>ROUND('Assumptions'!$B$12*H4,0)</f>
        <v>11</v>
      </c>
      <c r="I8" s="12">
        <f>ROUND('Assumptions'!$B$12*I4,0)</f>
        <v>12</v>
      </c>
      <c r="J8" s="12">
        <f>ROUND('Assumptions'!$B$12*J4,0)</f>
        <v>13</v>
      </c>
      <c r="K8" s="12">
        <f>ROUND('Assumptions'!$B$12*K4,0)</f>
        <v>13</v>
      </c>
      <c r="L8" s="12">
        <f>ROUND('Assumptions'!$B$12*L4,0)</f>
        <v>14</v>
      </c>
      <c r="M8" s="12">
        <f>ROUND('Assumptions'!$B$12*M4,0)</f>
        <v>15</v>
      </c>
      <c r="N8" s="13">
        <f>SUM(B8:M8)</f>
        <v>126</v>
      </c>
    </row>
    <row r="9" spans="1:14" x14ac:dyDescent="0.25">
      <c r="A9" s="4" t="s">
        <v>75</v>
      </c>
      <c r="B9" s="14">
        <f>B8*'Assumptions'!$B$13</f>
        <v>210</v>
      </c>
      <c r="C9" s="14">
        <f>C8*'Assumptions'!$B$13</f>
        <v>245</v>
      </c>
      <c r="D9" s="14">
        <f>D8*'Assumptions'!$B$13</f>
        <v>280</v>
      </c>
      <c r="E9" s="14">
        <f>E8*'Assumptions'!$B$13</f>
        <v>280</v>
      </c>
      <c r="F9" s="14">
        <f>F8*'Assumptions'!$B$13</f>
        <v>315</v>
      </c>
      <c r="G9" s="14">
        <f>G8*'Assumptions'!$B$13</f>
        <v>350</v>
      </c>
      <c r="H9" s="14">
        <f>H8*'Assumptions'!$B$13</f>
        <v>385</v>
      </c>
      <c r="I9" s="14">
        <f>I8*'Assumptions'!$B$13</f>
        <v>420</v>
      </c>
      <c r="J9" s="14">
        <f>J8*'Assumptions'!$B$13</f>
        <v>455</v>
      </c>
      <c r="K9" s="14">
        <f>K8*'Assumptions'!$B$13</f>
        <v>455</v>
      </c>
      <c r="L9" s="14">
        <f>L8*'Assumptions'!$B$13</f>
        <v>490</v>
      </c>
      <c r="M9" s="14">
        <f>M8*'Assumptions'!$B$13</f>
        <v>525</v>
      </c>
      <c r="N9" s="15">
        <f>SUM(B9:M9)</f>
        <v>4410</v>
      </c>
    </row>
    <row r="10" spans="1:14" x14ac:dyDescent="0.25">
      <c r="A10" s="4" t="s">
        <v>76</v>
      </c>
      <c r="B10" s="12">
        <f>ROUND('Assumptions'!$B$20*'Assumptions'!$B$18*'Assumptions'!$B$19*B4,0)</f>
        <v>36</v>
      </c>
      <c r="C10" s="12">
        <f>ROUND('Assumptions'!$B$20*'Assumptions'!$B$18*'Assumptions'!$B$19*C4,0)</f>
        <v>41</v>
      </c>
      <c r="D10" s="12">
        <f>ROUND('Assumptions'!$B$20*'Assumptions'!$B$18*'Assumptions'!$B$19*D4,0)</f>
        <v>46</v>
      </c>
      <c r="E10" s="12">
        <f>ROUND('Assumptions'!$B$20*'Assumptions'!$B$18*'Assumptions'!$B$19*E4,0)</f>
        <v>51</v>
      </c>
      <c r="F10" s="12">
        <f>ROUND('Assumptions'!$B$20*'Assumptions'!$B$18*'Assumptions'!$B$19*F4,0)</f>
        <v>56</v>
      </c>
      <c r="G10" s="12">
        <f>ROUND('Assumptions'!$B$20*'Assumptions'!$B$18*'Assumptions'!$B$19*G4,0)</f>
        <v>61</v>
      </c>
      <c r="H10" s="12">
        <f>ROUND('Assumptions'!$B$20*'Assumptions'!$B$18*'Assumptions'!$B$19*H4,0)</f>
        <v>65</v>
      </c>
      <c r="I10" s="12">
        <f>ROUND('Assumptions'!$B$20*'Assumptions'!$B$18*'Assumptions'!$B$19*I4,0)</f>
        <v>70</v>
      </c>
      <c r="J10" s="12">
        <f>ROUND('Assumptions'!$B$20*'Assumptions'!$B$18*'Assumptions'!$B$19*J4,0)</f>
        <v>75</v>
      </c>
      <c r="K10" s="12">
        <f>ROUND('Assumptions'!$B$20*'Assumptions'!$B$18*'Assumptions'!$B$19*K4,0)</f>
        <v>80</v>
      </c>
      <c r="L10" s="12">
        <f>ROUND('Assumptions'!$B$20*'Assumptions'!$B$18*'Assumptions'!$B$19*L4,0)</f>
        <v>85</v>
      </c>
      <c r="M10" s="12">
        <f>ROUND('Assumptions'!$B$20*'Assumptions'!$B$18*'Assumptions'!$B$19*M4,0)</f>
        <v>90</v>
      </c>
      <c r="N10" s="13">
        <f>SUM(B10:M10)</f>
        <v>756</v>
      </c>
    </row>
    <row r="11" spans="1:14" x14ac:dyDescent="0.25">
      <c r="A11" s="4" t="s">
        <v>77</v>
      </c>
      <c r="B11" s="14">
        <f>B10*'Assumptions'!$B$17</f>
        <v>1260</v>
      </c>
      <c r="C11" s="14">
        <f>C10*'Assumptions'!$B$17</f>
        <v>1435</v>
      </c>
      <c r="D11" s="14">
        <f>D10*'Assumptions'!$B$17</f>
        <v>1610</v>
      </c>
      <c r="E11" s="14">
        <f>E10*'Assumptions'!$B$17</f>
        <v>1785</v>
      </c>
      <c r="F11" s="14">
        <f>F10*'Assumptions'!$B$17</f>
        <v>1960</v>
      </c>
      <c r="G11" s="14">
        <f>G10*'Assumptions'!$B$17</f>
        <v>2135</v>
      </c>
      <c r="H11" s="14">
        <f>H10*'Assumptions'!$B$17</f>
        <v>2275</v>
      </c>
      <c r="I11" s="14">
        <f>I10*'Assumptions'!$B$17</f>
        <v>2450</v>
      </c>
      <c r="J11" s="14">
        <f>J10*'Assumptions'!$B$17</f>
        <v>2625</v>
      </c>
      <c r="K11" s="14">
        <f>K10*'Assumptions'!$B$17</f>
        <v>2800</v>
      </c>
      <c r="L11" s="14">
        <f>L10*'Assumptions'!$B$17</f>
        <v>2975</v>
      </c>
      <c r="M11" s="14">
        <f>M10*'Assumptions'!$B$17</f>
        <v>3150</v>
      </c>
      <c r="N11" s="15">
        <f>SUM(B11:M11)</f>
        <v>26460</v>
      </c>
    </row>
    <row r="12" spans="1:14" x14ac:dyDescent="0.25">
      <c r="A12" s="16" t="s">
        <v>78</v>
      </c>
      <c r="B12" s="17">
        <f>B7+B9+B11</f>
        <v>1630</v>
      </c>
      <c r="C12" s="17">
        <f>C7+C9+C11</f>
        <v>1984</v>
      </c>
      <c r="D12" s="17">
        <f>D7+D9+D11</f>
        <v>2322</v>
      </c>
      <c r="E12" s="17">
        <f>E7+E9+E11</f>
        <v>2625</v>
      </c>
      <c r="F12" s="17">
        <f>F7+F9+F11</f>
        <v>2947</v>
      </c>
      <c r="G12" s="17">
        <f>G7+G9+G11</f>
        <v>3269</v>
      </c>
      <c r="H12" s="17">
        <f>H7+H9+H11</f>
        <v>3540</v>
      </c>
      <c r="I12" s="17">
        <f>I7+I9+I11</f>
        <v>3846</v>
      </c>
      <c r="J12" s="17">
        <f>J7+J9+J11</f>
        <v>4136</v>
      </c>
      <c r="K12" s="17">
        <f>K7+K9+K11</f>
        <v>4391</v>
      </c>
      <c r="L12" s="17">
        <f>L7+L9+L11</f>
        <v>4665</v>
      </c>
      <c r="M12" s="17">
        <f>M7+M9+M11</f>
        <v>4939</v>
      </c>
      <c r="N12" s="17">
        <f>SUM(B12:M12)</f>
        <v>40294</v>
      </c>
    </row>
    <row r="14" spans="1:14" x14ac:dyDescent="0.25">
      <c r="A14" s="3" t="s">
        <v>79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4" t="s">
        <v>80</v>
      </c>
      <c r="B15" s="14">
        <f>B6*'Assumptions'!$B$9</f>
        <v>60</v>
      </c>
      <c r="C15" s="14">
        <f>C6*'Assumptions'!$B$9</f>
        <v>114</v>
      </c>
      <c r="D15" s="14">
        <f>D6*'Assumptions'!$B$9</f>
        <v>162</v>
      </c>
      <c r="E15" s="14">
        <f>E6*'Assumptions'!$B$9</f>
        <v>210</v>
      </c>
      <c r="F15" s="14">
        <f>F6*'Assumptions'!$B$9</f>
        <v>252</v>
      </c>
      <c r="G15" s="14">
        <f>G6*'Assumptions'!$B$9</f>
        <v>294</v>
      </c>
      <c r="H15" s="14">
        <f>H6*'Assumptions'!$B$9</f>
        <v>330</v>
      </c>
      <c r="I15" s="14">
        <f>I6*'Assumptions'!$B$9</f>
        <v>366</v>
      </c>
      <c r="J15" s="14">
        <f>J6*'Assumptions'!$B$9</f>
        <v>396</v>
      </c>
      <c r="K15" s="14">
        <f>K6*'Assumptions'!$B$9</f>
        <v>426</v>
      </c>
      <c r="L15" s="14">
        <f>L6*'Assumptions'!$B$9</f>
        <v>450</v>
      </c>
      <c r="M15" s="14">
        <f>M6*'Assumptions'!$B$9</f>
        <v>474</v>
      </c>
      <c r="N15" s="15">
        <f>SUM(B15:M15)</f>
        <v>3534</v>
      </c>
    </row>
    <row r="16" spans="1:14" x14ac:dyDescent="0.25">
      <c r="A16" s="4" t="s">
        <v>81</v>
      </c>
      <c r="B16" s="14">
        <f>B9*'Assumptions'!$B$14</f>
        <v>73.5</v>
      </c>
      <c r="C16" s="14">
        <f>C9*'Assumptions'!$B$14</f>
        <v>85.75</v>
      </c>
      <c r="D16" s="14">
        <f>D9*'Assumptions'!$B$14</f>
        <v>98</v>
      </c>
      <c r="E16" s="14">
        <f>E9*'Assumptions'!$B$14</f>
        <v>98</v>
      </c>
      <c r="F16" s="14">
        <f>F9*'Assumptions'!$B$14</f>
        <v>110.25</v>
      </c>
      <c r="G16" s="14">
        <f>G9*'Assumptions'!$B$14</f>
        <v>122.49999999999999</v>
      </c>
      <c r="H16" s="14">
        <f>H9*'Assumptions'!$B$14</f>
        <v>134.75</v>
      </c>
      <c r="I16" s="14">
        <f>I9*'Assumptions'!$B$14</f>
        <v>147</v>
      </c>
      <c r="J16" s="14">
        <f>J9*'Assumptions'!$B$14</f>
        <v>159.25</v>
      </c>
      <c r="K16" s="14">
        <f>K9*'Assumptions'!$B$14</f>
        <v>159.25</v>
      </c>
      <c r="L16" s="14">
        <f>L9*'Assumptions'!$B$14</f>
        <v>171.5</v>
      </c>
      <c r="M16" s="14">
        <f>M9*'Assumptions'!$B$14</f>
        <v>183.75</v>
      </c>
      <c r="N16" s="15">
        <f>SUM(B16:M16)</f>
        <v>1543.5</v>
      </c>
    </row>
    <row r="17" spans="1:14" x14ac:dyDescent="0.25">
      <c r="A17" s="4" t="s">
        <v>82</v>
      </c>
      <c r="B17" s="14">
        <f>'Assumptions'!$B$20*'Assumptions'!$B$21</f>
        <v>1440</v>
      </c>
      <c r="C17" s="14">
        <f>'Assumptions'!$B$20*'Assumptions'!$B$21</f>
        <v>1440</v>
      </c>
      <c r="D17" s="14">
        <f>'Assumptions'!$B$20*'Assumptions'!$B$21</f>
        <v>1440</v>
      </c>
      <c r="E17" s="14">
        <f>'Assumptions'!$B$20*'Assumptions'!$B$21</f>
        <v>1440</v>
      </c>
      <c r="F17" s="14">
        <f>'Assumptions'!$B$20*'Assumptions'!$B$21</f>
        <v>1440</v>
      </c>
      <c r="G17" s="14">
        <f>'Assumptions'!$B$20*'Assumptions'!$B$21</f>
        <v>1440</v>
      </c>
      <c r="H17" s="14">
        <f>'Assumptions'!$B$20*'Assumptions'!$B$21</f>
        <v>1440</v>
      </c>
      <c r="I17" s="14">
        <f>'Assumptions'!$B$20*'Assumptions'!$B$21</f>
        <v>1440</v>
      </c>
      <c r="J17" s="14">
        <f>'Assumptions'!$B$20*'Assumptions'!$B$21</f>
        <v>1440</v>
      </c>
      <c r="K17" s="14">
        <f>'Assumptions'!$B$20*'Assumptions'!$B$21</f>
        <v>1440</v>
      </c>
      <c r="L17" s="14">
        <f>'Assumptions'!$B$20*'Assumptions'!$B$21</f>
        <v>1440</v>
      </c>
      <c r="M17" s="14">
        <f>'Assumptions'!$B$20*'Assumptions'!$B$21</f>
        <v>1440</v>
      </c>
      <c r="N17" s="15">
        <f>SUM(B17:M17)</f>
        <v>17280</v>
      </c>
    </row>
    <row r="18" spans="1:14" x14ac:dyDescent="0.25">
      <c r="A18" s="4" t="s">
        <v>83</v>
      </c>
      <c r="B18" s="14">
        <f>B10*'Assumptions'!$B$22</f>
        <v>252</v>
      </c>
      <c r="C18" s="14">
        <f>C10*'Assumptions'!$B$22</f>
        <v>287</v>
      </c>
      <c r="D18" s="14">
        <f>D10*'Assumptions'!$B$22</f>
        <v>322</v>
      </c>
      <c r="E18" s="14">
        <f>E10*'Assumptions'!$B$22</f>
        <v>357</v>
      </c>
      <c r="F18" s="14">
        <f>F10*'Assumptions'!$B$22</f>
        <v>392</v>
      </c>
      <c r="G18" s="14">
        <f>G10*'Assumptions'!$B$22</f>
        <v>427</v>
      </c>
      <c r="H18" s="14">
        <f>H10*'Assumptions'!$B$22</f>
        <v>455</v>
      </c>
      <c r="I18" s="14">
        <f>I10*'Assumptions'!$B$22</f>
        <v>490</v>
      </c>
      <c r="J18" s="14">
        <f>J10*'Assumptions'!$B$22</f>
        <v>525</v>
      </c>
      <c r="K18" s="14">
        <f>K10*'Assumptions'!$B$22</f>
        <v>560</v>
      </c>
      <c r="L18" s="14">
        <f>L10*'Assumptions'!$B$22</f>
        <v>595</v>
      </c>
      <c r="M18" s="14">
        <f>M10*'Assumptions'!$B$22</f>
        <v>630</v>
      </c>
      <c r="N18" s="15">
        <f>SUM(B18:M18)</f>
        <v>5292</v>
      </c>
    </row>
    <row r="19" spans="1:14" x14ac:dyDescent="0.25">
      <c r="A19" s="4" t="s">
        <v>84</v>
      </c>
      <c r="B19" s="14">
        <f>B12*'Assumptions'!$B$27</f>
        <v>32.6</v>
      </c>
      <c r="C19" s="14">
        <f>C12*'Assumptions'!$B$27</f>
        <v>39.68</v>
      </c>
      <c r="D19" s="14">
        <f>D12*'Assumptions'!$B$27</f>
        <v>46.44</v>
      </c>
      <c r="E19" s="14">
        <f>E12*'Assumptions'!$B$27</f>
        <v>52.5</v>
      </c>
      <c r="F19" s="14">
        <f>F12*'Assumptions'!$B$27</f>
        <v>58.94</v>
      </c>
      <c r="G19" s="14">
        <f>G12*'Assumptions'!$B$27</f>
        <v>65.38</v>
      </c>
      <c r="H19" s="14">
        <f>H12*'Assumptions'!$B$27</f>
        <v>70.8</v>
      </c>
      <c r="I19" s="14">
        <f>I12*'Assumptions'!$B$27</f>
        <v>76.92</v>
      </c>
      <c r="J19" s="14">
        <f>J12*'Assumptions'!$B$27</f>
        <v>82.72</v>
      </c>
      <c r="K19" s="14">
        <f>K12*'Assumptions'!$B$27</f>
        <v>87.82000000000001</v>
      </c>
      <c r="L19" s="14">
        <f>L12*'Assumptions'!$B$27</f>
        <v>93.3</v>
      </c>
      <c r="M19" s="14">
        <f>M12*'Assumptions'!$B$27</f>
        <v>98.78</v>
      </c>
      <c r="N19" s="15">
        <f>SUM(B19:M19)</f>
        <v>805.88</v>
      </c>
    </row>
    <row r="20" spans="1:14" x14ac:dyDescent="0.25">
      <c r="A20" s="4" t="s">
        <v>85</v>
      </c>
      <c r="B20" s="14">
        <f>'Assumptions'!$B$25+'Assumptions'!$B$26</f>
        <v>70</v>
      </c>
      <c r="C20" s="14">
        <f>'Assumptions'!$B$25+'Assumptions'!$B$26</f>
        <v>70</v>
      </c>
      <c r="D20" s="14">
        <f>'Assumptions'!$B$25+'Assumptions'!$B$26</f>
        <v>70</v>
      </c>
      <c r="E20" s="14">
        <f>'Assumptions'!$B$25+'Assumptions'!$B$26</f>
        <v>70</v>
      </c>
      <c r="F20" s="14">
        <f>'Assumptions'!$B$25+'Assumptions'!$B$26</f>
        <v>70</v>
      </c>
      <c r="G20" s="14">
        <f>'Assumptions'!$B$25+'Assumptions'!$B$26</f>
        <v>70</v>
      </c>
      <c r="H20" s="14">
        <f>'Assumptions'!$B$25+'Assumptions'!$B$26</f>
        <v>70</v>
      </c>
      <c r="I20" s="14">
        <f>'Assumptions'!$B$25+'Assumptions'!$B$26</f>
        <v>70</v>
      </c>
      <c r="J20" s="14">
        <f>'Assumptions'!$B$25+'Assumptions'!$B$26</f>
        <v>70</v>
      </c>
      <c r="K20" s="14">
        <f>'Assumptions'!$B$25+'Assumptions'!$B$26</f>
        <v>70</v>
      </c>
      <c r="L20" s="14">
        <f>'Assumptions'!$B$25+'Assumptions'!$B$26</f>
        <v>70</v>
      </c>
      <c r="M20" s="14">
        <f>'Assumptions'!$B$25+'Assumptions'!$B$26</f>
        <v>70</v>
      </c>
      <c r="N20" s="15">
        <f>SUM(B20:M20)</f>
        <v>840</v>
      </c>
    </row>
    <row r="21" spans="1:14" x14ac:dyDescent="0.25">
      <c r="A21" s="16" t="s">
        <v>86</v>
      </c>
      <c r="B21" s="17">
        <f>SUM(B15:B20)</f>
        <v>1928.1</v>
      </c>
      <c r="C21" s="17">
        <f>SUM(C15:C20)</f>
        <v>2036.43</v>
      </c>
      <c r="D21" s="17">
        <f>SUM(D15:D20)</f>
        <v>2138.44</v>
      </c>
      <c r="E21" s="17">
        <f>SUM(E15:E20)</f>
        <v>2227.5</v>
      </c>
      <c r="F21" s="17">
        <f>SUM(F15:F20)</f>
        <v>2323.19</v>
      </c>
      <c r="G21" s="17">
        <f>SUM(G15:G20)</f>
        <v>2418.88</v>
      </c>
      <c r="H21" s="17">
        <f>SUM(H15:H20)</f>
        <v>2500.55</v>
      </c>
      <c r="I21" s="17">
        <f>SUM(I15:I20)</f>
        <v>2589.92</v>
      </c>
      <c r="J21" s="17">
        <f>SUM(J15:J20)</f>
        <v>2672.97</v>
      </c>
      <c r="K21" s="17">
        <f>SUM(K15:K20)</f>
        <v>2743.07</v>
      </c>
      <c r="L21" s="17">
        <f>SUM(L15:L20)</f>
        <v>2819.8</v>
      </c>
      <c r="M21" s="17">
        <f>SUM(M15:M20)</f>
        <v>2896.53</v>
      </c>
      <c r="N21" s="17">
        <f>SUM(B21:M21)</f>
        <v>29295.38</v>
      </c>
    </row>
    <row r="23" spans="1:14" x14ac:dyDescent="0.25">
      <c r="A23" s="16" t="s">
        <v>87</v>
      </c>
      <c r="B23" s="15">
        <f>B12-B21</f>
        <v>-298.0999999999999</v>
      </c>
      <c r="C23" s="15">
        <f>C12-C21</f>
        <v>-52.430000000000064</v>
      </c>
      <c r="D23" s="15">
        <f>D12-D21</f>
        <v>183.55999999999995</v>
      </c>
      <c r="E23" s="15">
        <f>E12-E21</f>
        <v>397.5</v>
      </c>
      <c r="F23" s="15">
        <f>F12-F21</f>
        <v>623.81</v>
      </c>
      <c r="G23" s="15">
        <f>G12-G21</f>
        <v>850.1199999999999</v>
      </c>
      <c r="H23" s="15">
        <f>H12-H21</f>
        <v>1039.4499999999998</v>
      </c>
      <c r="I23" s="15">
        <f>I12-I21</f>
        <v>1256.08</v>
      </c>
      <c r="J23" s="15">
        <f>J12-J21</f>
        <v>1463.0300000000002</v>
      </c>
      <c r="K23" s="15">
        <f>K12-K21</f>
        <v>1647.9299999999998</v>
      </c>
      <c r="L23" s="15">
        <f>L12-L21</f>
        <v>1845.1999999999998</v>
      </c>
      <c r="M23" s="15">
        <f>M12-M21</f>
        <v>2042.4699999999998</v>
      </c>
      <c r="N23" s="15">
        <f>N12-N21</f>
        <v>10998.62</v>
      </c>
    </row>
    <row r="24" spans="1:14" x14ac:dyDescent="0.25">
      <c r="A24" s="18" t="s">
        <v>88</v>
      </c>
      <c r="B24" s="19">
        <f>B23</f>
        <v>-298.0999999999999</v>
      </c>
      <c r="C24" s="19">
        <f>B24+C23</f>
        <v>-350.53</v>
      </c>
      <c r="D24" s="19">
        <f>C24+D23</f>
        <v>-166.97000000000003</v>
      </c>
      <c r="E24" s="19">
        <f>D24+E23</f>
        <v>230.52999999999997</v>
      </c>
      <c r="F24" s="19">
        <f>E24+F23</f>
        <v>854.3399999999999</v>
      </c>
      <c r="G24" s="19">
        <f>F24+G23</f>
        <v>1704.4599999999998</v>
      </c>
      <c r="H24" s="19">
        <f>G24+H23</f>
        <v>2743.91</v>
      </c>
      <c r="I24" s="19">
        <f>H24+I23</f>
        <v>3999.99</v>
      </c>
      <c r="J24" s="19">
        <f>I24+J23</f>
        <v>5463.02</v>
      </c>
      <c r="K24" s="19">
        <f>J24+K23</f>
        <v>7110.950000000001</v>
      </c>
      <c r="L24" s="19">
        <f>K24+L23</f>
        <v>8956.150000000001</v>
      </c>
      <c r="M24" s="19">
        <f>L24+M23</f>
        <v>10998.62</v>
      </c>
      <c r="N24" s="19">
        <f>M24</f>
        <v>10998.62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5" customWidth="1"/>
    <col min="5" max="5" width="13" customWidth="1"/>
  </cols>
  <sheetData>
    <row r="1" spans="1:1" x14ac:dyDescent="0.25">
      <c r="A1" s="1" t="s">
        <v>89</v>
      </c>
    </row>
    <row r="2" spans="1:1" x14ac:dyDescent="0.25">
      <c r="A2" s="2" t="s">
        <v>90</v>
      </c>
    </row>
    <row r="3" spans="2:5" x14ac:dyDescent="0.25">
      <c r="B3" s="10" t="s">
        <v>91</v>
      </c>
      <c r="C3" s="10" t="s">
        <v>92</v>
      </c>
      <c r="D3" s="10" t="s">
        <v>93</v>
      </c>
      <c r="E3" s="10" t="s">
        <v>94</v>
      </c>
    </row>
    <row r="4" spans="1:5" x14ac:dyDescent="0.25">
      <c r="A4" s="3" t="s">
        <v>71</v>
      </c>
      <c r="B4" s="3"/>
      <c r="C4" s="3"/>
      <c r="D4" s="3"/>
      <c r="E4" s="3"/>
    </row>
    <row r="5" spans="1:5" x14ac:dyDescent="0.25">
      <c r="A5" s="4" t="s">
        <v>95</v>
      </c>
      <c r="B5" s="20">
        <f>'Year 1 Cash Flow'!N7</f>
        <v>9424</v>
      </c>
      <c r="C5" s="14">
        <f>B5*'Assumptions'!$B$31</f>
        <v>23560</v>
      </c>
      <c r="D5" s="14">
        <f>B5*'Assumptions'!$B$32</f>
        <v>32984</v>
      </c>
      <c r="E5" s="21">
        <f>D5/B5</f>
        <v>3.5</v>
      </c>
    </row>
    <row r="6" spans="1:5" x14ac:dyDescent="0.25">
      <c r="A6" s="4" t="s">
        <v>96</v>
      </c>
      <c r="B6" s="20">
        <f>'Year 1 Cash Flow'!N9</f>
        <v>4410</v>
      </c>
      <c r="C6" s="14">
        <f>B6*'Assumptions'!$B$33</f>
        <v>7938</v>
      </c>
      <c r="D6" s="14">
        <f>B6*'Assumptions'!$B$34</f>
        <v>11025</v>
      </c>
      <c r="E6" s="21">
        <f>D6/B6</f>
        <v>2.5</v>
      </c>
    </row>
    <row r="7" spans="1:5" x14ac:dyDescent="0.25">
      <c r="A7" s="4" t="s">
        <v>97</v>
      </c>
      <c r="B7" s="20">
        <f>'Year 1 Cash Flow'!N11</f>
        <v>26460</v>
      </c>
      <c r="C7" s="14">
        <f>B7*'Assumptions'!$B$35</f>
        <v>34398</v>
      </c>
      <c r="D7" s="14">
        <f>B7*'Assumptions'!$B$36</f>
        <v>42336</v>
      </c>
      <c r="E7" s="21">
        <f>D7/B7</f>
        <v>1.6</v>
      </c>
    </row>
    <row r="8" spans="1:5" x14ac:dyDescent="0.25">
      <c r="A8" s="16" t="s">
        <v>78</v>
      </c>
      <c r="B8" s="17">
        <f>SUM(B5:B7)</f>
        <v>40294</v>
      </c>
      <c r="C8" s="17">
        <f>SUM(C5:C7)</f>
        <v>65896</v>
      </c>
      <c r="D8" s="17">
        <f>SUM(D5:D7)</f>
        <v>86345</v>
      </c>
      <c r="E8" s="22">
        <f>D8/B8</f>
        <v>2.142874869707649</v>
      </c>
    </row>
    <row r="10" spans="1:5" x14ac:dyDescent="0.25">
      <c r="A10" s="3" t="s">
        <v>79</v>
      </c>
      <c r="B10" s="3"/>
      <c r="C10" s="3"/>
      <c r="D10" s="3"/>
      <c r="E10" s="3"/>
    </row>
    <row r="11" spans="1:5" x14ac:dyDescent="0.25">
      <c r="A11" s="4" t="s">
        <v>80</v>
      </c>
      <c r="B11" s="20">
        <f>'Year 1 Cash Flow'!N15</f>
        <v>3534</v>
      </c>
      <c r="C11" s="14">
        <f>B11*'Assumptions'!$B$31</f>
        <v>8835</v>
      </c>
      <c r="D11" s="14">
        <f>B11*'Assumptions'!$B$32</f>
        <v>12369</v>
      </c>
      <c r="E11" s="21">
        <f>D11/B11</f>
        <v>3.5</v>
      </c>
    </row>
    <row r="12" spans="1:5" x14ac:dyDescent="0.25">
      <c r="A12" s="4" t="s">
        <v>81</v>
      </c>
      <c r="B12" s="20">
        <f>'Year 1 Cash Flow'!N16</f>
        <v>1543.5</v>
      </c>
      <c r="C12" s="14">
        <f>B12*'Assumptions'!$B$33</f>
        <v>2778.3</v>
      </c>
      <c r="D12" s="14">
        <f>B12*'Assumptions'!$B$34</f>
        <v>3858.75</v>
      </c>
      <c r="E12" s="21">
        <f>D12/B12</f>
        <v>2.5</v>
      </c>
    </row>
    <row r="13" spans="1:5" x14ac:dyDescent="0.25">
      <c r="A13" s="4" t="s">
        <v>98</v>
      </c>
      <c r="B13" s="20">
        <f>'Year 1 Cash Flow'!N17+'Year 1 Cash Flow'!N18</f>
        <v>22572</v>
      </c>
      <c r="C13" s="14">
        <f>B13*'Assumptions'!$B$35</f>
        <v>29343.600000000002</v>
      </c>
      <c r="D13" s="14">
        <f>B13*'Assumptions'!$B$36</f>
        <v>36115.200000000004</v>
      </c>
      <c r="E13" s="21">
        <f>D13/B13</f>
        <v>1.6</v>
      </c>
    </row>
    <row r="14" spans="1:4" x14ac:dyDescent="0.25">
      <c r="A14" s="4" t="s">
        <v>84</v>
      </c>
      <c r="B14" s="14">
        <f>B8*'Assumptions'!$B$27</f>
        <v>805.88</v>
      </c>
      <c r="C14" s="14">
        <f>C8*'Assumptions'!$B$27</f>
        <v>1317.92</v>
      </c>
      <c r="D14" s="14">
        <f>D8*'Assumptions'!$B$27</f>
        <v>1726.9</v>
      </c>
    </row>
    <row r="15" spans="1:4" x14ac:dyDescent="0.25">
      <c r="A15" s="4" t="s">
        <v>85</v>
      </c>
      <c r="B15" s="20">
        <f>'Year 1 Cash Flow'!N20</f>
        <v>840</v>
      </c>
      <c r="C15" s="14">
        <f>B15*'Assumptions'!$B$37</f>
        <v>1176</v>
      </c>
      <c r="D15" s="14">
        <f>C15*'Assumptions'!$B$37</f>
        <v>1646.3999999999999</v>
      </c>
    </row>
    <row r="16" spans="1:4" x14ac:dyDescent="0.25">
      <c r="A16" s="16" t="s">
        <v>86</v>
      </c>
      <c r="B16" s="17">
        <f>SUM(B11:B15)</f>
        <v>29295.38</v>
      </c>
      <c r="C16" s="17">
        <f>SUM(C11:C15)</f>
        <v>43450.82</v>
      </c>
      <c r="D16" s="17">
        <f>SUM(D11:D15)</f>
        <v>55716.25000000001</v>
      </c>
    </row>
    <row r="18" spans="1:5" x14ac:dyDescent="0.25">
      <c r="A18" s="18" t="s">
        <v>99</v>
      </c>
      <c r="B18" s="19">
        <f>B8-B16</f>
        <v>10998.619999999999</v>
      </c>
      <c r="C18" s="19">
        <f>C8-C16</f>
        <v>22445.18</v>
      </c>
      <c r="D18" s="19">
        <f>D8-D16</f>
        <v>30628.749999999993</v>
      </c>
      <c r="E18" s="22">
        <f>D18/B18</f>
        <v>2.7847811816391506</v>
      </c>
    </row>
    <row r="19" spans="1:4" x14ac:dyDescent="0.25">
      <c r="A19" s="23" t="s">
        <v>100</v>
      </c>
      <c r="B19" s="24">
        <f>B18/B8</f>
        <v>0.27295924951605693</v>
      </c>
      <c r="C19" s="24">
        <f>C18/C8</f>
        <v>0.34061521184897414</v>
      </c>
      <c r="D19" s="24">
        <f>D18/D8</f>
        <v>0.3547252301812496</v>
      </c>
    </row>
    <row r="21" spans="1:1" x14ac:dyDescent="0.25">
      <c r="A21" s="2" t="s">
        <v>101</v>
      </c>
    </row>
    <row r="22" spans="1:1" x14ac:dyDescent="0.25">
      <c r="A22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Year 1 Cash Flow</vt:lpstr>
      <vt:lpstr>3-Year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2026-07-06T13:46:47Z</dcterms:created>
  <dcterms:modified xsi:type="dcterms:W3CDTF">2026-07-06T13:46:47Z</dcterms:modified>
</cp:coreProperties>
</file>